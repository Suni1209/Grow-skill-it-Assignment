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394f56cefada158/Desktop/"/>
    </mc:Choice>
  </mc:AlternateContent>
  <xr:revisionPtr revIDLastSave="1" documentId="14_{CB6C3C8E-616A-4AC0-8CBF-E41DDA55F4A8}" xr6:coauthVersionLast="47" xr6:coauthVersionMax="47" xr10:uidLastSave="{AAE8BBB3-3F9E-40AF-9966-079CBC4AA95B}"/>
  <bookViews>
    <workbookView xWindow="-110" yWindow="-110" windowWidth="19420" windowHeight="10300" xr2:uid="{00000000-000D-0000-FFFF-FFFF00000000}"/>
  </bookViews>
  <sheets>
    <sheet name="DEFECT TRACKER" sheetId="1" r:id="rId1"/>
    <sheet name="screenshot" sheetId="10" r:id="rId2"/>
    <sheet name="Dropdowns" sheetId="2" r:id="rId3"/>
  </sheets>
  <externalReferences>
    <externalReference r:id="rId4"/>
  </externalReferences>
  <definedNames>
    <definedName name="_xlnm._FilterDatabase" localSheetId="0" hidden="1">'DEFECT TRACKER'!$B$18:$V$33</definedName>
    <definedName name="CATEGORY">'[1]RISK MITIGATION REPORT EXAMPLE'!#REF!</definedName>
    <definedName name="COMMENTS">'[1]RISK MITIGATION REPORT EXAMPLE'!#REF!</definedName>
    <definedName name="DATE">#REF!</definedName>
    <definedName name="DATE_OF_DECISION">'[1]RISK MITIGATION REPORT EXAMPLE'!#REF!</definedName>
    <definedName name="DECISION">'[1]RISK MITIGATION REPORT EXAMPLE'!#REF!</definedName>
    <definedName name="DECISION_ID">'[1]RISK MITIGATION REPORT EXAMPLE'!#REF!</definedName>
    <definedName name="Full_Project_Name">#REF!</definedName>
    <definedName name="ID">'[1]RISK MITIGATION REPORT EXAMPLE'!#REF!</definedName>
    <definedName name="_xlnm.Print_Titles" localSheetId="0">'DEFECT TRACKER'!$18:$18</definedName>
    <definedName name="Project_Manager">#REF!</definedName>
    <definedName name="Project_No">#REF!</definedName>
    <definedName name="PROJECT_SPONSOR">#REF!</definedName>
    <definedName name="RESPONSIBLE_PARTY">'[1]RISK MITIGATION REPORT EXAMPLE'!#REF!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H12" i="1"/>
  <c r="H11" i="1"/>
  <c r="H10" i="1"/>
  <c r="G14" i="1"/>
  <c r="G12" i="1"/>
  <c r="G11" i="1"/>
  <c r="G10" i="1"/>
  <c r="C14" i="1"/>
  <c r="C12" i="1"/>
  <c r="C11" i="1"/>
  <c r="H15" i="1" l="1"/>
  <c r="G15" i="1"/>
  <c r="C15" i="1"/>
</calcChain>
</file>

<file path=xl/sharedStrings.xml><?xml version="1.0" encoding="utf-8"?>
<sst xmlns="http://schemas.openxmlformats.org/spreadsheetml/2006/main" count="82" uniqueCount="60">
  <si>
    <t>Severity</t>
  </si>
  <si>
    <t>Status</t>
  </si>
  <si>
    <t>Count</t>
  </si>
  <si>
    <t>1-Critical</t>
  </si>
  <si>
    <t>2-High</t>
  </si>
  <si>
    <t>2-Open</t>
  </si>
  <si>
    <t>3-Medium</t>
  </si>
  <si>
    <t>3-Closed</t>
  </si>
  <si>
    <t>4-Low</t>
  </si>
  <si>
    <t>Defect ID</t>
  </si>
  <si>
    <t>Detected Date</t>
  </si>
  <si>
    <t>Environment</t>
  </si>
  <si>
    <t>Internal Update</t>
  </si>
  <si>
    <t>Assigned to</t>
  </si>
  <si>
    <t>Customer facing update</t>
  </si>
  <si>
    <t>TOTALS</t>
  </si>
  <si>
    <t>Reported by</t>
  </si>
  <si>
    <t>Engineer</t>
  </si>
  <si>
    <t>Engineer &amp; PM</t>
  </si>
  <si>
    <t>PM &amp; Engineer for LOE</t>
  </si>
  <si>
    <t>1-New</t>
  </si>
  <si>
    <t>User Impact</t>
  </si>
  <si>
    <t>Business impact</t>
  </si>
  <si>
    <t>[Blank]</t>
  </si>
  <si>
    <t xml:space="preserve">DEFECT / ISSUE TRACKER </t>
  </si>
  <si>
    <t xml:space="preserve"> Req Id</t>
  </si>
  <si>
    <t>Priority</t>
  </si>
  <si>
    <t>Title</t>
  </si>
  <si>
    <t>Module</t>
  </si>
  <si>
    <t>Steps to reproduce</t>
  </si>
  <si>
    <t>Version</t>
  </si>
  <si>
    <t>Build</t>
  </si>
  <si>
    <t>Duplicate ID</t>
  </si>
  <si>
    <t>Updated Date</t>
  </si>
  <si>
    <t>Screenshot</t>
  </si>
  <si>
    <t>Expected Result</t>
  </si>
  <si>
    <t>Actual Result</t>
  </si>
  <si>
    <t>Rajat Bansal</t>
  </si>
  <si>
    <t>Screenshot Id</t>
  </si>
  <si>
    <t>ss_02</t>
  </si>
  <si>
    <t>No update from customer till now</t>
  </si>
  <si>
    <t>4-Fixed</t>
  </si>
  <si>
    <t>User is unable to scroll to home page footer due to dynamic load of image</t>
  </si>
  <si>
    <t>Home page  Module</t>
  </si>
  <si>
    <t>QA -Rahul</t>
  </si>
  <si>
    <t xml:space="preserve">1.  Given on home page
2.When tries to scroll to Footer
3.Then unable to reach Footer
</t>
  </si>
  <si>
    <t>Able to reach footer</t>
  </si>
  <si>
    <t>unable to reach footer</t>
  </si>
  <si>
    <t>stage</t>
  </si>
  <si>
    <t>Coupon "SAVE50" applied for order value below500.</t>
  </si>
  <si>
    <t>1.The app should display a validation message such as coupon SAVE50 is applicable only for orders above500rs.                 2.The coupon should not be applied, and the cart value should remain 499.</t>
  </si>
  <si>
    <t>1.The coupon SAVE50 is successfully applied even though the order value is rs 499.                               2.The app deducted rs 50, making the final price rs449.</t>
  </si>
  <si>
    <t>Cart\Coupon discount Module</t>
  </si>
  <si>
    <t>QA</t>
  </si>
  <si>
    <t>User can access dashboard and order history using browser back button after logout</t>
  </si>
  <si>
    <t>Authentication Module</t>
  </si>
  <si>
    <t>1.Open the food App website                                                        2. add an item worth rs499to the cart                                                    3. navigate to the cart page .                                                         4. applied the coupon code SAVE50.                                               5.observed the discount applied</t>
  </si>
  <si>
    <t>1.Open the application.                                                         2.login with valid credentials.                                                3.Navigate to the dashboard page.                                             4.Go to order history .                                                                     5.Click on logout.                                                                            6.After logout, press the browser back button.</t>
  </si>
  <si>
    <t>The User should be redirected to the login page , the system should not allow access to the dashboard or the order history after logout.</t>
  </si>
  <si>
    <t>The dasboard page loads again, and the user is able to view order history without logging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</si>
</sst>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u/>
      <sz val="11"/>
      <color theme="1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7">
    <xf numFmtId="0" fontId="0" fillId="0" borderId="0"/>
    <xf numFmtId="0" fontId="6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4" fontId="0" fillId="0" borderId="6" xfId="0" applyNumberFormat="1" applyBorder="1" applyAlignment="1">
      <alignment horizontal="center" vertical="top" wrapText="1"/>
    </xf>
    <xf numFmtId="0" fontId="0" fillId="0" borderId="6" xfId="0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14" fontId="0" fillId="0" borderId="6" xfId="0" applyNumberForma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quotePrefix="1" applyBorder="1" applyAlignment="1">
      <alignment vertical="top" wrapText="1"/>
    </xf>
    <xf numFmtId="0" fontId="3" fillId="0" borderId="6" xfId="0" applyFont="1" applyBorder="1" applyAlignment="1">
      <alignment vertical="top"/>
    </xf>
    <xf numFmtId="0" fontId="0" fillId="2" borderId="6" xfId="0" applyFill="1" applyBorder="1" applyAlignment="1">
      <alignment horizontal="center" vertical="top" wrapText="1"/>
    </xf>
    <xf numFmtId="0" fontId="0" fillId="2" borderId="6" xfId="0" quotePrefix="1" applyFill="1" applyBorder="1" applyAlignment="1">
      <alignment horizontal="center" vertical="top" wrapText="1"/>
    </xf>
    <xf numFmtId="0" fontId="0" fillId="0" borderId="6" xfId="0" applyBorder="1"/>
    <xf numFmtId="0" fontId="6" fillId="27" borderId="6" xfId="0" applyFont="1" applyFill="1" applyBorder="1" applyAlignment="1">
      <alignment vertical="top" wrapText="1"/>
    </xf>
    <xf numFmtId="0" fontId="6" fillId="27" borderId="6" xfId="0" applyFont="1" applyFill="1" applyBorder="1" applyAlignment="1">
      <alignment horizontal="left" vertical="top" wrapText="1"/>
    </xf>
    <xf numFmtId="0" fontId="1" fillId="0" borderId="6" xfId="0" applyFont="1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27" borderId="2" xfId="0" applyFont="1" applyFill="1" applyBorder="1" applyAlignment="1">
      <alignment horizontal="left" vertical="center" wrapText="1"/>
    </xf>
    <xf numFmtId="0" fontId="6" fillId="27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6" fillId="27" borderId="4" xfId="0" applyFont="1" applyFill="1" applyBorder="1" applyAlignment="1">
      <alignment horizontal="center" vertical="center"/>
    </xf>
    <xf numFmtId="0" fontId="6" fillId="27" borderId="3" xfId="0" applyFont="1" applyFill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quotePrefix="1" applyBorder="1" applyAlignment="1">
      <alignment vertical="center"/>
    </xf>
    <xf numFmtId="0" fontId="0" fillId="0" borderId="6" xfId="0" applyBorder="1" applyAlignment="1">
      <alignment horizontal="left" vertical="top"/>
    </xf>
    <xf numFmtId="0" fontId="0" fillId="0" borderId="6" xfId="0" quotePrefix="1" applyBorder="1" applyAlignment="1">
      <alignment horizontal="left" vertical="top"/>
    </xf>
    <xf numFmtId="0" fontId="7" fillId="0" borderId="0" xfId="0" applyFont="1"/>
    <xf numFmtId="0" fontId="8" fillId="0" borderId="0" xfId="0" applyFont="1"/>
    <xf numFmtId="0" fontId="0" fillId="28" borderId="6" xfId="0" applyFill="1" applyBorder="1" applyAlignment="1">
      <alignment horizontal="center" vertical="center" wrapText="1"/>
    </xf>
    <xf numFmtId="0" fontId="0" fillId="28" borderId="7" xfId="0" applyFill="1" applyBorder="1" applyAlignment="1">
      <alignment horizontal="center" vertical="center" wrapText="1"/>
    </xf>
    <xf numFmtId="0" fontId="0" fillId="29" borderId="6" xfId="0" applyFill="1" applyBorder="1" applyAlignment="1">
      <alignment horizontal="center" vertical="center" wrapText="1"/>
    </xf>
    <xf numFmtId="0" fontId="0" fillId="29" borderId="7" xfId="0" applyFill="1" applyBorder="1" applyAlignment="1">
      <alignment horizontal="center" vertical="center" wrapText="1"/>
    </xf>
    <xf numFmtId="0" fontId="0" fillId="30" borderId="6" xfId="0" applyFill="1" applyBorder="1" applyAlignment="1">
      <alignment horizontal="center" vertical="center" wrapText="1"/>
    </xf>
    <xf numFmtId="0" fontId="0" fillId="30" borderId="7" xfId="0" applyFill="1" applyBorder="1" applyAlignment="1">
      <alignment horizontal="center" vertical="center" wrapText="1"/>
    </xf>
    <xf numFmtId="0" fontId="0" fillId="31" borderId="6" xfId="0" applyFill="1" applyBorder="1" applyAlignment="1">
      <alignment horizontal="center" vertical="center" wrapText="1"/>
    </xf>
    <xf numFmtId="0" fontId="0" fillId="31" borderId="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27" borderId="0" xfId="0" applyFont="1" applyFill="1" applyAlignment="1">
      <alignment horizontal="center" vertical="center" wrapText="1"/>
    </xf>
  </cellXfs>
  <cellStyles count="27">
    <cellStyle name="20% - Accent1" xfId="2" builtinId="30" customBuiltin="1"/>
    <cellStyle name="20% - Accent2" xfId="6" builtinId="34" customBuiltin="1"/>
    <cellStyle name="20% - Accent3" xfId="10" builtinId="38" customBuiltin="1"/>
    <cellStyle name="20% - Accent4" xfId="14" builtinId="42" customBuiltin="1"/>
    <cellStyle name="20% - Accent5" xfId="18" builtinId="46" customBuiltin="1"/>
    <cellStyle name="20% - Accent6" xfId="22" builtinId="50" customBuiltin="1"/>
    <cellStyle name="40% - Accent1" xfId="3" builtinId="31" customBuiltin="1"/>
    <cellStyle name="40% - Accent2" xfId="7" builtinId="35" customBuiltin="1"/>
    <cellStyle name="40% - Accent3" xfId="11" builtinId="39" customBuiltin="1"/>
    <cellStyle name="40% - Accent4" xfId="15" builtinId="43" customBuiltin="1"/>
    <cellStyle name="40% - Accent5" xfId="19" builtinId="47" customBuiltin="1"/>
    <cellStyle name="40% - Accent6" xfId="23" builtinId="51" customBuiltin="1"/>
    <cellStyle name="60% - Accent1" xfId="4" builtinId="32" customBuiltin="1"/>
    <cellStyle name="60% - Accent2" xfId="8" builtinId="36" customBuiltin="1"/>
    <cellStyle name="60% - Accent3" xfId="12" builtinId="40" customBuiltin="1"/>
    <cellStyle name="60% - Accent4" xfId="16" builtinId="44" customBuiltin="1"/>
    <cellStyle name="60% - Accent5" xfId="20" builtinId="48" customBuiltin="1"/>
    <cellStyle name="60% - Accent6" xfId="24" builtinId="52" customBuiltin="1"/>
    <cellStyle name="Accent1" xfId="1" builtinId="29" customBuiltin="1"/>
    <cellStyle name="Accent2" xfId="5" builtinId="33" customBuiltin="1"/>
    <cellStyle name="Accent3" xfId="9" builtinId="37" customBuiltin="1"/>
    <cellStyle name="Accent4" xfId="13" builtinId="41" customBuiltin="1"/>
    <cellStyle name="Accent5" xfId="17" builtinId="45" customBuiltin="1"/>
    <cellStyle name="Accent6" xfId="21" builtinId="49" customBuiltin="1"/>
    <cellStyle name="Hyperlink 2" xfId="26" xr:uid="{42B9EB72-9AB5-472E-AB76-1B10AB5C759B}"/>
    <cellStyle name="Normal" xfId="0" builtinId="0"/>
    <cellStyle name="Title 2" xfId="25" xr:uid="{CF1C9D3B-9ABC-49EC-8C74-B379FF64C566}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risk-data-sheet-template.html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95250</xdr:rowOff>
    </xdr:from>
    <xdr:to>
      <xdr:col>8</xdr:col>
      <xdr:colOff>1142434</xdr:colOff>
      <xdr:row>4</xdr:row>
      <xdr:rowOff>161925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D79A61-5BBA-4382-93BC-7120A45E2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0"/>
          <a:ext cx="652965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844</xdr:colOff>
      <xdr:row>1</xdr:row>
      <xdr:rowOff>15240</xdr:rowOff>
    </xdr:from>
    <xdr:to>
      <xdr:col>2</xdr:col>
      <xdr:colOff>0</xdr:colOff>
      <xdr:row>2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00D1BE-85BA-6A17-AE83-C5B44E732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5364" y="601980"/>
          <a:ext cx="7962056" cy="31394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morp\Dropbox\Unnamed%20Site%203\public_html\project-templates\risk-mitigation-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DETAILS"/>
      <sheetName val="RISK MITIGATION REPORT COLOR"/>
      <sheetName val="RISK MITIGATION REPORT EXAMPLE"/>
      <sheetName val="RISK MITIGATION REPORT PLAIN"/>
      <sheetName val="RESOURCES"/>
    </sheetNames>
    <sheetDataSet>
      <sheetData sheetId="0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7:W101"/>
  <sheetViews>
    <sheetView showGridLines="0" tabSelected="1" topLeftCell="A18" zoomScale="90" zoomScaleNormal="90" workbookViewId="0">
      <selection activeCell="G35" sqref="G35"/>
    </sheetView>
  </sheetViews>
  <sheetFormatPr defaultRowHeight="14.5" x14ac:dyDescent="0.35"/>
  <cols>
    <col min="1" max="1" width="2.36328125" customWidth="1"/>
    <col min="2" max="2" width="11.54296875" customWidth="1"/>
    <col min="3" max="4" width="12.36328125" customWidth="1"/>
    <col min="5" max="5" width="10.08984375" bestFit="1" customWidth="1"/>
    <col min="6" max="6" width="10.90625" customWidth="1"/>
    <col min="7" max="8" width="12.08984375" customWidth="1"/>
    <col min="9" max="9" width="25" customWidth="1"/>
    <col min="10" max="13" width="21" customWidth="1"/>
    <col min="14" max="14" width="14.453125" customWidth="1"/>
    <col min="15" max="16" width="54.6328125" customWidth="1"/>
    <col min="17" max="18" width="22.1796875" customWidth="1"/>
    <col min="19" max="19" width="15.36328125" customWidth="1"/>
    <col min="20" max="20" width="34.54296875" customWidth="1"/>
    <col min="21" max="21" width="65.453125" customWidth="1"/>
    <col min="22" max="22" width="11.90625" customWidth="1"/>
    <col min="23" max="23" width="17" customWidth="1"/>
  </cols>
  <sheetData>
    <row r="7" spans="2:23" ht="37.5" customHeight="1" x14ac:dyDescent="0.7">
      <c r="C7" s="41" t="s">
        <v>24</v>
      </c>
      <c r="D7" s="41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1"/>
    </row>
    <row r="8" spans="2:23" ht="15" customHeight="1" thickBot="1" x14ac:dyDescent="0.4">
      <c r="W8" s="1"/>
    </row>
    <row r="9" spans="2:23" s="31" customFormat="1" ht="39" customHeight="1" thickBot="1" x14ac:dyDescent="0.4">
      <c r="B9" s="24"/>
      <c r="C9" s="24"/>
      <c r="D9" s="24"/>
      <c r="E9" s="24"/>
      <c r="F9" s="25"/>
      <c r="G9" s="26" t="s">
        <v>21</v>
      </c>
      <c r="H9" s="27" t="s">
        <v>22</v>
      </c>
      <c r="I9" s="24"/>
      <c r="J9" s="24"/>
      <c r="K9" s="24"/>
      <c r="L9" s="24"/>
      <c r="M9" s="24"/>
      <c r="N9" s="24"/>
      <c r="O9" s="28"/>
      <c r="P9" s="28"/>
      <c r="Q9" s="28"/>
      <c r="R9" s="28"/>
      <c r="S9" s="29"/>
      <c r="T9" s="29"/>
      <c r="U9" s="30"/>
      <c r="V9" s="29"/>
    </row>
    <row r="10" spans="2:23" s="31" customFormat="1" ht="21.75" customHeight="1" x14ac:dyDescent="0.35">
      <c r="B10" s="32" t="s">
        <v>1</v>
      </c>
      <c r="C10" s="33" t="s">
        <v>2</v>
      </c>
      <c r="D10" s="51"/>
      <c r="E10" s="29"/>
      <c r="F10" s="18" t="s">
        <v>3</v>
      </c>
      <c r="G10" s="42">
        <f>COUNTIFS(G$19:G$33,F10)</f>
        <v>1</v>
      </c>
      <c r="H10" s="43">
        <f>COUNTIFS(H$19:H$33,F10)</f>
        <v>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30"/>
      <c r="V10" s="29"/>
    </row>
    <row r="11" spans="2:23" s="31" customFormat="1" ht="17.25" customHeight="1" x14ac:dyDescent="0.35">
      <c r="B11" s="18" t="s">
        <v>20</v>
      </c>
      <c r="C11" s="19">
        <f>COUNTIFS(F19:F33,B11)</f>
        <v>0</v>
      </c>
      <c r="D11" s="50"/>
      <c r="E11" s="29"/>
      <c r="F11" s="20" t="s">
        <v>4</v>
      </c>
      <c r="G11" s="44">
        <f>COUNTIFS(G$19:G33,F11)</f>
        <v>0</v>
      </c>
      <c r="H11" s="45">
        <f>COUNTIFS(H$19:H33,F11)</f>
        <v>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30"/>
      <c r="V11" s="29"/>
    </row>
    <row r="12" spans="2:23" s="31" customFormat="1" ht="17.25" customHeight="1" x14ac:dyDescent="0.35">
      <c r="B12" s="20" t="s">
        <v>5</v>
      </c>
      <c r="C12" s="19">
        <f>COUNTIFS(F19:F33,B12)</f>
        <v>0</v>
      </c>
      <c r="D12" s="50"/>
      <c r="E12" s="29"/>
      <c r="F12" s="20" t="s">
        <v>6</v>
      </c>
      <c r="G12" s="46">
        <f>COUNTIFS(G$19:G33,F12)</f>
        <v>1</v>
      </c>
      <c r="H12" s="47">
        <f>COUNTIFS(H$19:H33,F12)</f>
        <v>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30"/>
      <c r="V12" s="29"/>
    </row>
    <row r="13" spans="2:23" s="31" customFormat="1" ht="17.25" customHeight="1" x14ac:dyDescent="0.35">
      <c r="B13" s="20" t="s">
        <v>7</v>
      </c>
      <c r="C13" s="19">
        <v>0</v>
      </c>
      <c r="D13" s="50"/>
      <c r="E13" s="29"/>
      <c r="F13" s="20"/>
      <c r="G13" s="46"/>
      <c r="H13" s="47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30"/>
      <c r="V13" s="29"/>
    </row>
    <row r="14" spans="2:23" s="31" customFormat="1" ht="17.25" customHeight="1" x14ac:dyDescent="0.35">
      <c r="B14" s="20" t="s">
        <v>41</v>
      </c>
      <c r="C14" s="19">
        <f>COUNTIFS(F19:F33,B14)</f>
        <v>0</v>
      </c>
      <c r="D14" s="50"/>
      <c r="E14" s="29"/>
      <c r="F14" s="20" t="s">
        <v>8</v>
      </c>
      <c r="G14" s="48">
        <f>COUNTIFS(G$19:G33,F14)</f>
        <v>0</v>
      </c>
      <c r="H14" s="49">
        <f>COUNTIFS(H$19:H33,F14)</f>
        <v>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30"/>
      <c r="V14" s="29"/>
    </row>
    <row r="15" spans="2:23" s="31" customFormat="1" ht="17.25" customHeight="1" thickBot="1" x14ac:dyDescent="0.4">
      <c r="B15" s="34" t="s">
        <v>15</v>
      </c>
      <c r="C15" s="23">
        <f>SUM(C11:C14)</f>
        <v>0</v>
      </c>
      <c r="D15" s="50"/>
      <c r="E15" s="29"/>
      <c r="F15" s="21"/>
      <c r="G15" s="22">
        <f>SUM(G10:G14)</f>
        <v>2</v>
      </c>
      <c r="H15" s="23">
        <f>SUM(H10:H14)</f>
        <v>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30"/>
      <c r="V15" s="29"/>
    </row>
    <row r="16" spans="2:23" x14ac:dyDescent="0.35">
      <c r="B16" s="1"/>
      <c r="C16" s="4"/>
      <c r="D16" s="4"/>
      <c r="E16" s="1"/>
      <c r="F16" s="1"/>
      <c r="G16" s="4"/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1"/>
    </row>
    <row r="17" spans="2:22" x14ac:dyDescent="0.35">
      <c r="B17" s="1"/>
      <c r="C17" s="4"/>
      <c r="D17" s="4"/>
      <c r="E17" s="1"/>
      <c r="F17" s="1"/>
      <c r="G17" s="4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/>
      <c r="V17" s="1"/>
    </row>
    <row r="18" spans="2:22" ht="48" customHeight="1" x14ac:dyDescent="0.35">
      <c r="B18" s="15" t="s">
        <v>9</v>
      </c>
      <c r="C18" s="15" t="s">
        <v>10</v>
      </c>
      <c r="D18" s="15" t="s">
        <v>33</v>
      </c>
      <c r="E18" s="15" t="s">
        <v>25</v>
      </c>
      <c r="F18" s="15" t="s">
        <v>1</v>
      </c>
      <c r="G18" s="15" t="s">
        <v>0</v>
      </c>
      <c r="H18" s="15" t="s">
        <v>26</v>
      </c>
      <c r="I18" s="15" t="s">
        <v>27</v>
      </c>
      <c r="J18" s="15" t="s">
        <v>28</v>
      </c>
      <c r="K18" s="15" t="s">
        <v>30</v>
      </c>
      <c r="L18" s="15" t="s">
        <v>31</v>
      </c>
      <c r="M18" s="15" t="s">
        <v>32</v>
      </c>
      <c r="N18" s="15" t="s">
        <v>16</v>
      </c>
      <c r="O18" s="15" t="s">
        <v>29</v>
      </c>
      <c r="P18" s="15" t="s">
        <v>34</v>
      </c>
      <c r="Q18" s="15" t="s">
        <v>35</v>
      </c>
      <c r="R18" s="15" t="s">
        <v>36</v>
      </c>
      <c r="S18" s="15" t="s">
        <v>11</v>
      </c>
      <c r="T18" s="15" t="s">
        <v>14</v>
      </c>
      <c r="U18" s="16" t="s">
        <v>12</v>
      </c>
      <c r="V18" s="15" t="s">
        <v>13</v>
      </c>
    </row>
    <row r="19" spans="2:22" ht="67" customHeight="1" x14ac:dyDescent="0.35">
      <c r="B19" s="3">
        <v>1</v>
      </c>
      <c r="C19" s="5">
        <v>46080</v>
      </c>
      <c r="D19" s="5">
        <v>46080</v>
      </c>
      <c r="E19" s="12">
        <v>101</v>
      </c>
      <c r="F19" s="5"/>
      <c r="G19" s="5" t="s">
        <v>6</v>
      </c>
      <c r="H19" s="5" t="s">
        <v>6</v>
      </c>
      <c r="I19" s="6" t="s">
        <v>42</v>
      </c>
      <c r="J19" s="6" t="s">
        <v>43</v>
      </c>
      <c r="K19" s="6">
        <v>1</v>
      </c>
      <c r="L19" s="6">
        <v>11</v>
      </c>
      <c r="M19" s="6"/>
      <c r="N19" s="6" t="s">
        <v>44</v>
      </c>
      <c r="O19" s="7" t="s">
        <v>45</v>
      </c>
      <c r="P19" s="7" t="s">
        <v>39</v>
      </c>
      <c r="Q19" s="7" t="s">
        <v>46</v>
      </c>
      <c r="R19" s="7" t="s">
        <v>47</v>
      </c>
      <c r="S19" s="6" t="s">
        <v>48</v>
      </c>
      <c r="T19" s="6" t="s">
        <v>40</v>
      </c>
      <c r="U19" s="9"/>
      <c r="V19" s="6" t="s">
        <v>37</v>
      </c>
    </row>
    <row r="20" spans="2:22" ht="65.400000000000006" customHeight="1" x14ac:dyDescent="0.35">
      <c r="B20" s="3">
        <v>2</v>
      </c>
      <c r="C20" s="5">
        <v>46089</v>
      </c>
      <c r="D20" s="5">
        <v>46089</v>
      </c>
      <c r="E20" s="12">
        <v>102</v>
      </c>
      <c r="F20" s="5"/>
      <c r="G20" s="14" t="s">
        <v>3</v>
      </c>
      <c r="H20" s="5" t="s">
        <v>4</v>
      </c>
      <c r="I20" s="6" t="s">
        <v>49</v>
      </c>
      <c r="J20" s="6" t="s">
        <v>52</v>
      </c>
      <c r="K20" s="6">
        <v>1</v>
      </c>
      <c r="L20" s="6">
        <v>11</v>
      </c>
      <c r="M20" s="6"/>
      <c r="N20" s="6"/>
      <c r="O20" s="7" t="s">
        <v>56</v>
      </c>
      <c r="P20" s="7"/>
      <c r="Q20" s="7" t="s">
        <v>50</v>
      </c>
      <c r="R20" s="7" t="s">
        <v>51</v>
      </c>
      <c r="S20" s="6" t="s">
        <v>53</v>
      </c>
      <c r="T20" s="6"/>
      <c r="U20" s="9"/>
      <c r="V20" s="6" t="s">
        <v>18</v>
      </c>
    </row>
    <row r="21" spans="2:22" ht="89.4" hidden="1" customHeight="1" x14ac:dyDescent="0.35">
      <c r="B21" s="3"/>
      <c r="C21" s="5"/>
      <c r="D21" s="5"/>
      <c r="E21" s="12"/>
      <c r="F21" s="5"/>
      <c r="G21" s="5"/>
      <c r="H21" s="5"/>
      <c r="I21" s="6"/>
      <c r="J21" s="6"/>
      <c r="K21" s="6"/>
      <c r="L21" s="6"/>
      <c r="M21" s="6"/>
      <c r="N21" s="6"/>
      <c r="O21" s="7"/>
      <c r="P21" s="7"/>
      <c r="Q21" s="7"/>
      <c r="R21" s="7"/>
      <c r="S21" s="6"/>
      <c r="T21" s="6"/>
      <c r="U21" s="9"/>
      <c r="V21" s="6" t="s">
        <v>17</v>
      </c>
    </row>
    <row r="22" spans="2:22" ht="57.75" hidden="1" customHeight="1" x14ac:dyDescent="0.35">
      <c r="B22" s="3"/>
      <c r="C22" s="5"/>
      <c r="D22" s="5"/>
      <c r="E22" s="12"/>
      <c r="F22" s="5"/>
      <c r="G22" s="5"/>
      <c r="H22" s="5"/>
      <c r="I22" s="6"/>
      <c r="J22" s="6"/>
      <c r="K22" s="6"/>
      <c r="L22" s="6"/>
      <c r="M22" s="6"/>
      <c r="N22" s="6"/>
      <c r="O22" s="7"/>
      <c r="P22" s="7"/>
      <c r="Q22" s="7"/>
      <c r="R22" s="7"/>
      <c r="S22" s="6"/>
      <c r="T22" s="6"/>
      <c r="U22" s="9"/>
      <c r="V22" s="6" t="s">
        <v>17</v>
      </c>
    </row>
    <row r="23" spans="2:22" ht="59.4" hidden="1" customHeight="1" x14ac:dyDescent="0.35">
      <c r="B23" s="3"/>
      <c r="C23" s="5"/>
      <c r="D23" s="5"/>
      <c r="E23" s="12"/>
      <c r="F23" s="5"/>
      <c r="G23" s="5"/>
      <c r="H23" s="5"/>
      <c r="I23" s="6"/>
      <c r="J23" s="6"/>
      <c r="K23" s="6"/>
      <c r="L23" s="6"/>
      <c r="M23" s="6"/>
      <c r="N23" s="7"/>
      <c r="O23" s="6"/>
      <c r="P23" s="6"/>
      <c r="Q23" s="6"/>
      <c r="R23" s="6"/>
      <c r="S23" s="9"/>
      <c r="T23" s="6"/>
      <c r="U23" s="9"/>
      <c r="V23" s="5" t="s">
        <v>19</v>
      </c>
    </row>
    <row r="24" spans="2:22" ht="97.25" hidden="1" customHeight="1" x14ac:dyDescent="0.35">
      <c r="B24" s="3"/>
      <c r="C24" s="5"/>
      <c r="D24" s="5"/>
      <c r="E24" s="13"/>
      <c r="F24" s="5"/>
      <c r="G24" s="5"/>
      <c r="H24" s="5"/>
      <c r="I24" s="10"/>
      <c r="J24" s="10"/>
      <c r="K24" s="10"/>
      <c r="L24" s="10"/>
      <c r="M24" s="10"/>
      <c r="N24" s="6"/>
      <c r="O24" s="7"/>
      <c r="P24" s="7"/>
      <c r="Q24" s="7"/>
      <c r="R24" s="7"/>
      <c r="S24" s="6"/>
      <c r="T24" s="6"/>
      <c r="U24" s="8"/>
      <c r="V24" s="6"/>
    </row>
    <row r="25" spans="2:22" ht="66" hidden="1" customHeight="1" x14ac:dyDescent="0.35">
      <c r="B25" s="3"/>
      <c r="C25" s="5"/>
      <c r="D25" s="5"/>
      <c r="E25" s="12"/>
      <c r="F25" s="5"/>
      <c r="G25" s="5"/>
      <c r="H25" s="5"/>
      <c r="I25" s="6"/>
      <c r="J25" s="6"/>
      <c r="K25" s="6"/>
      <c r="L25" s="6"/>
      <c r="M25" s="6"/>
      <c r="N25" s="6"/>
      <c r="O25" s="7"/>
      <c r="P25" s="7"/>
      <c r="Q25" s="7"/>
      <c r="R25" s="7"/>
      <c r="S25" s="6"/>
      <c r="T25" s="6"/>
      <c r="U25" s="9"/>
      <c r="V25" s="6"/>
    </row>
    <row r="26" spans="2:22" ht="67.75" hidden="1" customHeight="1" x14ac:dyDescent="0.35">
      <c r="B26" s="3"/>
      <c r="C26" s="5"/>
      <c r="D26" s="5"/>
      <c r="E26" s="12"/>
      <c r="F26" s="5"/>
      <c r="G26" s="5"/>
      <c r="H26" s="5"/>
      <c r="I26" s="6"/>
      <c r="J26" s="6"/>
      <c r="K26" s="6"/>
      <c r="L26" s="6"/>
      <c r="M26" s="6"/>
      <c r="N26" s="6"/>
      <c r="O26" s="7"/>
      <c r="P26" s="7"/>
      <c r="Q26" s="7"/>
      <c r="R26" s="7"/>
      <c r="S26" s="6"/>
      <c r="T26" s="6"/>
      <c r="U26" s="9"/>
      <c r="V26" s="6"/>
    </row>
    <row r="27" spans="2:22" ht="25.5" hidden="1" customHeight="1" x14ac:dyDescent="0.35">
      <c r="B27" s="3"/>
      <c r="C27" s="5"/>
      <c r="D27" s="5"/>
      <c r="E27" s="12"/>
      <c r="F27" s="5"/>
      <c r="G27" s="5"/>
      <c r="H27" s="5"/>
      <c r="I27" s="7"/>
      <c r="J27" s="7"/>
      <c r="K27" s="7"/>
      <c r="L27" s="7"/>
      <c r="M27" s="7"/>
      <c r="N27" s="6"/>
      <c r="O27" s="7"/>
      <c r="P27" s="7"/>
      <c r="Q27" s="7"/>
      <c r="R27" s="7"/>
      <c r="S27" s="6"/>
      <c r="T27" s="6"/>
      <c r="U27" s="9"/>
      <c r="V27" s="6"/>
    </row>
    <row r="28" spans="2:22" ht="25.5" hidden="1" customHeight="1" x14ac:dyDescent="0.35">
      <c r="B28" s="3"/>
      <c r="C28" s="5"/>
      <c r="D28" s="5"/>
      <c r="E28" s="12"/>
      <c r="F28" s="5"/>
      <c r="G28" s="5"/>
      <c r="H28" s="5"/>
      <c r="I28" s="6"/>
      <c r="J28" s="6"/>
      <c r="K28" s="6"/>
      <c r="L28" s="6"/>
      <c r="M28" s="6"/>
      <c r="N28" s="6"/>
      <c r="O28" s="7"/>
      <c r="P28" s="7"/>
      <c r="Q28" s="7"/>
      <c r="R28" s="7"/>
      <c r="S28" s="6"/>
      <c r="T28" s="6"/>
      <c r="U28" s="9"/>
      <c r="V28" s="6"/>
    </row>
    <row r="29" spans="2:22" ht="25.5" hidden="1" customHeight="1" x14ac:dyDescent="0.35">
      <c r="B29" s="3"/>
      <c r="C29" s="5"/>
      <c r="D29" s="5"/>
      <c r="E29" s="12"/>
      <c r="F29" s="5"/>
      <c r="G29" s="5"/>
      <c r="H29" s="5"/>
      <c r="I29" s="6"/>
      <c r="J29" s="6"/>
      <c r="K29" s="6"/>
      <c r="L29" s="6"/>
      <c r="M29" s="6"/>
      <c r="N29" s="6"/>
      <c r="O29" s="7"/>
      <c r="P29" s="7"/>
      <c r="Q29" s="7"/>
      <c r="R29" s="7"/>
      <c r="S29" s="6"/>
      <c r="T29" s="6"/>
      <c r="U29" s="9"/>
      <c r="V29" s="6"/>
    </row>
    <row r="30" spans="2:22" ht="25.5" hidden="1" customHeight="1" x14ac:dyDescent="0.35">
      <c r="B30" s="3"/>
      <c r="C30" s="5"/>
      <c r="D30" s="5"/>
      <c r="E30" s="12"/>
      <c r="F30" s="5"/>
      <c r="G30" s="5"/>
      <c r="H30" s="5"/>
      <c r="I30" s="6"/>
      <c r="J30" s="6"/>
      <c r="K30" s="6"/>
      <c r="L30" s="6"/>
      <c r="M30" s="6"/>
      <c r="N30" s="6"/>
      <c r="O30" s="7"/>
      <c r="P30" s="7"/>
      <c r="Q30" s="7"/>
      <c r="R30" s="7"/>
      <c r="S30" s="6"/>
      <c r="T30" s="6"/>
      <c r="U30" s="11"/>
      <c r="V30" s="6"/>
    </row>
    <row r="31" spans="2:22" ht="25.5" hidden="1" customHeight="1" x14ac:dyDescent="0.35">
      <c r="B31" s="3"/>
      <c r="C31" s="5"/>
      <c r="D31" s="5"/>
      <c r="E31" s="12"/>
      <c r="F31" s="5"/>
      <c r="G31" s="5"/>
      <c r="H31" s="5"/>
      <c r="I31" s="6"/>
      <c r="J31" s="6"/>
      <c r="K31" s="6"/>
      <c r="L31" s="6"/>
      <c r="M31" s="6"/>
      <c r="N31" s="6"/>
      <c r="O31" s="7"/>
      <c r="P31" s="7"/>
      <c r="Q31" s="7"/>
      <c r="R31" s="7"/>
      <c r="S31" s="6"/>
      <c r="T31" s="6"/>
      <c r="U31" s="9"/>
      <c r="V31" s="6"/>
    </row>
    <row r="32" spans="2:22" ht="25.5" hidden="1" customHeight="1" x14ac:dyDescent="0.35">
      <c r="B32" s="3"/>
      <c r="C32" s="5"/>
      <c r="D32" s="5"/>
      <c r="E32" s="12"/>
      <c r="F32" s="5"/>
      <c r="G32" s="5"/>
      <c r="H32" s="5"/>
      <c r="I32" s="6"/>
      <c r="J32" s="6"/>
      <c r="K32" s="6"/>
      <c r="L32" s="6"/>
      <c r="M32" s="6"/>
      <c r="N32" s="6"/>
      <c r="O32" s="7"/>
      <c r="P32" s="7"/>
      <c r="Q32" s="7"/>
      <c r="R32" s="7"/>
      <c r="S32" s="6"/>
      <c r="T32" s="6"/>
      <c r="U32" s="9"/>
      <c r="V32" s="6"/>
    </row>
    <row r="33" spans="2:22" ht="25.5" hidden="1" customHeight="1" x14ac:dyDescent="0.35">
      <c r="B33" s="3"/>
      <c r="C33" s="5"/>
      <c r="D33" s="5"/>
      <c r="E33" s="12"/>
      <c r="F33" s="5"/>
      <c r="G33" s="5"/>
      <c r="H33" s="5"/>
      <c r="I33" s="6"/>
      <c r="J33" s="6"/>
      <c r="K33" s="6"/>
      <c r="L33" s="6"/>
      <c r="M33" s="6"/>
      <c r="N33" s="6"/>
      <c r="O33" s="7"/>
      <c r="P33" s="7"/>
      <c r="Q33" s="7"/>
      <c r="R33" s="7"/>
      <c r="S33" s="6"/>
      <c r="T33" s="6"/>
      <c r="U33" s="6"/>
      <c r="V33" s="6"/>
    </row>
    <row r="34" spans="2:22" ht="27.5" customHeight="1" x14ac:dyDescent="0.35">
      <c r="B34" s="14">
        <v>3</v>
      </c>
      <c r="C34" s="5">
        <v>46089</v>
      </c>
      <c r="D34" s="5">
        <v>46089</v>
      </c>
      <c r="E34" s="12">
        <v>102</v>
      </c>
      <c r="F34" s="5"/>
      <c r="G34" s="14" t="s">
        <v>3</v>
      </c>
      <c r="H34" s="5" t="s">
        <v>4</v>
      </c>
      <c r="I34" s="14" t="s">
        <v>54</v>
      </c>
      <c r="J34" s="14" t="s">
        <v>55</v>
      </c>
      <c r="K34" s="14">
        <v>1</v>
      </c>
      <c r="L34" s="14">
        <v>11</v>
      </c>
      <c r="M34" s="14"/>
      <c r="N34" s="14"/>
      <c r="O34" s="7" t="s">
        <v>57</v>
      </c>
      <c r="P34" s="14"/>
      <c r="Q34" s="14" t="s">
        <v>58</v>
      </c>
      <c r="R34" s="7" t="s">
        <v>59</v>
      </c>
      <c r="S34" s="14" t="s">
        <v>53</v>
      </c>
      <c r="T34" s="14"/>
      <c r="U34" s="14"/>
      <c r="V34" s="14"/>
    </row>
    <row r="35" spans="2:22" ht="21.75" customHeight="1" x14ac:dyDescent="0.35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2:22" ht="21.75" customHeight="1" x14ac:dyDescent="0.35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2:22" ht="21.75" customHeight="1" x14ac:dyDescent="0.3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2:22" ht="21.75" customHeight="1" x14ac:dyDescent="0.35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2:22" ht="21.75" customHeight="1" x14ac:dyDescent="0.35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2:22" ht="21.75" customHeight="1" x14ac:dyDescent="0.35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2:22" ht="21.75" customHeight="1" x14ac:dyDescent="0.35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2:22" ht="21.75" customHeight="1" x14ac:dyDescent="0.35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2:22" ht="21.75" customHeight="1" x14ac:dyDescent="0.35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2:22" ht="21.75" customHeight="1" x14ac:dyDescent="0.35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2:22" ht="21.75" customHeight="1" x14ac:dyDescent="0.35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2:22" ht="21.75" customHeight="1" x14ac:dyDescent="0.35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2:22" ht="21.75" customHeight="1" x14ac:dyDescent="0.35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spans="2:22" ht="21.75" customHeight="1" x14ac:dyDescent="0.35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spans="2:22" ht="21.75" customHeight="1" x14ac:dyDescent="0.35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spans="2:22" ht="21.75" customHeight="1" x14ac:dyDescent="0.35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spans="2:22" ht="21.75" customHeight="1" x14ac:dyDescent="0.35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spans="2:22" ht="21.75" customHeight="1" x14ac:dyDescent="0.35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spans="2:22" ht="21.75" customHeight="1" x14ac:dyDescent="0.35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spans="2:22" ht="21.75" customHeight="1" x14ac:dyDescent="0.35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spans="2:22" ht="21.75" customHeight="1" x14ac:dyDescent="0.35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2:22" ht="21.75" customHeight="1" x14ac:dyDescent="0.35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spans="2:22" ht="21.75" customHeight="1" x14ac:dyDescent="0.35"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spans="2:22" ht="21.75" customHeight="1" x14ac:dyDescent="0.35"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spans="2:22" ht="21.75" customHeight="1" x14ac:dyDescent="0.35"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spans="2:22" ht="21.75" customHeight="1" x14ac:dyDescent="0.35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spans="2:22" ht="21.75" customHeight="1" x14ac:dyDescent="0.35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spans="2:22" ht="21.75" customHeight="1" x14ac:dyDescent="0.3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spans="2:22" ht="21.75" customHeight="1" x14ac:dyDescent="0.35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spans="2:22" ht="21.75" customHeight="1" x14ac:dyDescent="0.35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spans="2:22" ht="21.75" customHeight="1" x14ac:dyDescent="0.35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spans="2:22" ht="21.75" customHeight="1" x14ac:dyDescent="0.3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spans="2:22" ht="21.75" customHeight="1" x14ac:dyDescent="0.3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spans="2:22" ht="21.75" customHeight="1" x14ac:dyDescent="0.3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spans="2:22" ht="21.75" customHeight="1" x14ac:dyDescent="0.3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spans="2:22" ht="21.75" customHeight="1" x14ac:dyDescent="0.3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spans="2:22" ht="21.75" customHeight="1" x14ac:dyDescent="0.3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spans="2:22" ht="21.75" customHeight="1" x14ac:dyDescent="0.35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spans="2:22" ht="21.75" customHeight="1" x14ac:dyDescent="0.35"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spans="2:22" ht="21.75" customHeight="1" x14ac:dyDescent="0.35"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spans="2:22" ht="21.75" customHeight="1" x14ac:dyDescent="0.35"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spans="2:22" ht="21.75" customHeight="1" x14ac:dyDescent="0.35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spans="2:22" ht="21.75" customHeight="1" x14ac:dyDescent="0.35"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spans="2:22" ht="21.75" customHeight="1" x14ac:dyDescent="0.35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spans="2:22" ht="21.75" customHeight="1" x14ac:dyDescent="0.35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spans="2:22" ht="21.75" customHeight="1" x14ac:dyDescent="0.35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spans="2:22" ht="21.75" customHeight="1" x14ac:dyDescent="0.35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spans="2:22" ht="21.75" customHeight="1" x14ac:dyDescent="0.35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spans="2:22" ht="21.75" customHeight="1" x14ac:dyDescent="0.35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spans="2:22" ht="21.75" customHeight="1" x14ac:dyDescent="0.35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spans="2:22" ht="21.75" customHeight="1" x14ac:dyDescent="0.35"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spans="2:22" ht="21.75" customHeight="1" x14ac:dyDescent="0.35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spans="2:22" ht="21.75" customHeight="1" x14ac:dyDescent="0.35"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spans="2:22" ht="21.75" customHeight="1" x14ac:dyDescent="0.35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spans="2:22" ht="21.75" customHeight="1" x14ac:dyDescent="0.35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spans="2:22" ht="21.75" customHeight="1" x14ac:dyDescent="0.35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spans="2:22" ht="21.75" customHeight="1" x14ac:dyDescent="0.35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spans="2:22" ht="21.75" customHeight="1" x14ac:dyDescent="0.35"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spans="2:22" ht="21.75" customHeight="1" x14ac:dyDescent="0.35"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spans="2:22" ht="21.75" customHeight="1" x14ac:dyDescent="0.35"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spans="2:22" ht="21.75" customHeight="1" x14ac:dyDescent="0.35"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spans="2:22" ht="21.75" customHeight="1" x14ac:dyDescent="0.35"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spans="2:22" ht="21.75" customHeight="1" x14ac:dyDescent="0.35"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spans="2:22" ht="21.75" customHeight="1" x14ac:dyDescent="0.35"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spans="2:22" ht="21.75" customHeight="1" x14ac:dyDescent="0.35"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 spans="2:22" ht="21.75" customHeight="1" x14ac:dyDescent="0.35"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spans="2:22" ht="21.75" customHeight="1" x14ac:dyDescent="0.35"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</row>
  </sheetData>
  <autoFilter ref="B18:V33" xr:uid="{579BB452-B6EF-4621-88E1-E3564E59ABD2}">
    <filterColumn colId="6">
      <customFilters>
        <customFilter operator="notEqual" val=" "/>
      </customFilters>
    </filterColumn>
  </autoFilter>
  <conditionalFormatting sqref="G19:H101">
    <cfRule type="cellIs" dxfId="3" priority="1" operator="equal">
      <formula>$F$14</formula>
    </cfRule>
    <cfRule type="cellIs" dxfId="2" priority="2" operator="equal">
      <formula>$F$12</formula>
    </cfRule>
    <cfRule type="cellIs" dxfId="1" priority="3" operator="equal">
      <formula>$F$11</formula>
    </cfRule>
    <cfRule type="cellIs" dxfId="0" priority="4" operator="equal">
      <formula>$F$10</formula>
    </cfRule>
  </conditionalFormatting>
  <pageMargins left="0.70866141732283472" right="0.70866141732283472" top="0.15748031496062992" bottom="0.15748031496062992" header="0.31496062992125984" footer="0.31496062992125984"/>
  <pageSetup paperSize="9" scale="45" orientation="landscape" horizontalDpi="4294967294" verticalDpi="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640A400-3960-459D-98D3-DBC7F5FFEF23}">
          <x14:formula1>
            <xm:f>Dropdowns!$B$9:$B$13</xm:f>
          </x14:formula1>
          <xm:sqref>H19:H34 G19 G21:G33</xm:sqref>
        </x14:dataValidation>
        <x14:dataValidation type="list" allowBlank="1" showInputMessage="1" showErrorMessage="1" xr:uid="{79EBF7D2-9BD6-46FE-9262-4E0D83474B18}">
          <x14:formula1>
            <xm:f>Dropdowns!$B$2:$B$6</xm:f>
          </x14:formula1>
          <xm:sqref>F19:F34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F8DF-9BC1-4911-AF37-49CE7E7A032C}">
  <dimension ref="A1:B2"/>
  <sheetViews>
    <sheetView workbookViewId="0">
      <selection activeCell="E2" sqref="E2"/>
    </sheetView>
  </sheetViews>
  <sheetFormatPr defaultRowHeight="14.5" x14ac:dyDescent="0.35"/>
  <cols>
    <col min="1" max="1" width="27.36328125" customWidth="1"/>
    <col min="2" max="2" width="116.08984375" customWidth="1"/>
  </cols>
  <sheetData>
    <row r="1" spans="1:2" ht="46.25" customHeight="1" x14ac:dyDescent="0.35">
      <c r="A1" t="s">
        <v>38</v>
      </c>
      <c r="B1" t="s">
        <v>34</v>
      </c>
    </row>
    <row r="2" spans="1:2" ht="247.75" customHeight="1" x14ac:dyDescent="0.35">
      <c r="A2" t="s">
        <v>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3"/>
  <sheetViews>
    <sheetView zoomScale="82" zoomScaleNormal="82" workbookViewId="0">
      <selection activeCell="D9" sqref="D9"/>
    </sheetView>
  </sheetViews>
  <sheetFormatPr defaultColWidth="9.08984375" defaultRowHeight="14.5" x14ac:dyDescent="0.35"/>
  <cols>
    <col min="1" max="1" width="9.08984375" style="1"/>
    <col min="2" max="2" width="11.453125" style="1" customWidth="1"/>
    <col min="3" max="10" width="9.08984375" style="1"/>
    <col min="11" max="11" width="9.08984375" style="2"/>
    <col min="12" max="16384" width="9.08984375" style="1"/>
  </cols>
  <sheetData>
    <row r="1" spans="2:2" x14ac:dyDescent="0.35">
      <c r="B1" s="17" t="s">
        <v>1</v>
      </c>
    </row>
    <row r="2" spans="2:2" x14ac:dyDescent="0.35">
      <c r="B2" s="38" t="s">
        <v>20</v>
      </c>
    </row>
    <row r="3" spans="2:2" x14ac:dyDescent="0.35">
      <c r="B3" s="39" t="s">
        <v>5</v>
      </c>
    </row>
    <row r="4" spans="2:2" x14ac:dyDescent="0.35">
      <c r="B4" s="39" t="s">
        <v>7</v>
      </c>
    </row>
    <row r="5" spans="2:2" x14ac:dyDescent="0.35">
      <c r="B5" s="39" t="s">
        <v>41</v>
      </c>
    </row>
    <row r="6" spans="2:2" x14ac:dyDescent="0.35">
      <c r="B6" s="39" t="s">
        <v>23</v>
      </c>
    </row>
    <row r="8" spans="2:2" x14ac:dyDescent="0.35">
      <c r="B8" s="17" t="s">
        <v>0</v>
      </c>
    </row>
    <row r="9" spans="2:2" x14ac:dyDescent="0.35">
      <c r="B9" s="36" t="s">
        <v>3</v>
      </c>
    </row>
    <row r="10" spans="2:2" x14ac:dyDescent="0.35">
      <c r="B10" s="37" t="s">
        <v>4</v>
      </c>
    </row>
    <row r="11" spans="2:2" x14ac:dyDescent="0.35">
      <c r="B11" s="37" t="s">
        <v>6</v>
      </c>
    </row>
    <row r="12" spans="2:2" x14ac:dyDescent="0.35">
      <c r="B12" s="37" t="s">
        <v>8</v>
      </c>
    </row>
    <row r="13" spans="2:2" x14ac:dyDescent="0.35">
      <c r="B13" s="3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DEFECT TRACKER</vt:lpstr>
      <vt:lpstr>screenshot</vt:lpstr>
      <vt:lpstr>Dropdowns</vt:lpstr>
      <vt:lpstr>'DEFECT TRACKER'!Print_Titles</vt:lpstr>
    </vt:vector>
  </TitlesOfParts>
  <Manager>stakeholdermap.com</Manager>
  <Company>stakeholdermap.com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Defect Tracker</dc:title>
  <dc:subject>Defect and Issue tracking</dc:subject>
  <dc:creator>Priyanka Arora</dc:creator>
  <cp:lastModifiedBy>Deepak Kumar</cp:lastModifiedBy>
  <cp:lastPrinted>2014-06-28T09:25:29Z</cp:lastPrinted>
  <dcterms:created xsi:type="dcterms:W3CDTF">2014-06-28T09:07:17Z</dcterms:created>
  <dcterms:modified xsi:type="dcterms:W3CDTF">2026-03-09T02:59:48Z</dcterms:modified>
  <cp:category>Project Management Templates</cp:category>
</cp:coreProperties>
</file>